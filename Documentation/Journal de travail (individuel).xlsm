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filterPrivacy="1" codeName="ThisWorkbook" hidePivotFieldList="1"/>
  <xr:revisionPtr revIDLastSave="0" documentId="13_ncr:1_{19DC8235-6343-4E49-B9FD-481540580C80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Journal" sheetId="1" r:id="rId1"/>
    <sheet name="Totaux" sheetId="4" r:id="rId2"/>
    <sheet name="Paramètres" sheetId="2" r:id="rId3"/>
  </sheets>
  <definedNames>
    <definedName name="base">Journal!$A$6</definedName>
  </definedNames>
  <calcPr calcId="191029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" i="1" l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</calcChain>
</file>

<file path=xl/sharedStrings.xml><?xml version="1.0" encoding="utf-8"?>
<sst xmlns="http://schemas.openxmlformats.org/spreadsheetml/2006/main" count="82" uniqueCount="50">
  <si>
    <t>Description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</si>
  <si>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</si>
  <si>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</si>
  <si>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</si>
  <si>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</si>
  <si>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</si>
  <si>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</si>
  <si>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</si>
  <si>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</si>
  <si>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</si>
  <si>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</si>
  <si>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</si>
  <si>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</si>
  <si>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Remarques/problèmes/déductions</t>
  </si>
  <si>
    <t>PROJET: Sokaban</t>
  </si>
  <si>
    <t>Réalisé par: Mauro Santos</t>
  </si>
  <si>
    <t>Classe: SI-C4a</t>
  </si>
  <si>
    <t>Repection et lecture du chahier des charger</t>
  </si>
  <si>
    <t>Meeting avec le premier expert</t>
  </si>
  <si>
    <t>Creation d'une planification initiale</t>
  </si>
  <si>
    <t xml:space="preserve"> Creation d'un repertoire github et creation du .gitignore</t>
  </si>
  <si>
    <t>Ecriture des taches à faire dans icescrum</t>
  </si>
  <si>
    <t>Regarder quelle procedure faire si je dois m'absenter pendant une journée</t>
  </si>
  <si>
    <t>faire des changement à la planification initiale à fin je puisse m'absenter le 1er juin</t>
  </si>
  <si>
    <t>Ecriture des differents testes à faire pour chaque tache dans icescrum</t>
  </si>
  <si>
    <t xml:space="preserve">Ecriture du journal de travail des taches faites jusqu’à maintenant </t>
  </si>
  <si>
    <t>Ecriture du mail pour annoncer mon absence du 1er juin</t>
  </si>
  <si>
    <t>Recherches à propos des jeux socoban et comprehension des régles</t>
  </si>
  <si>
    <t>Ecriture du dossier de projet</t>
  </si>
  <si>
    <t>Commencer l'ecriture du dossier de projet</t>
  </si>
  <si>
    <t>Creation du projet unity + recherche de assets pour le projet</t>
  </si>
  <si>
    <t>Meeting avec M. Ithurbide</t>
  </si>
  <si>
    <t>Inserer des assets dans le jeu + animations</t>
  </si>
  <si>
    <t>Changer les animations du personnage et coder le deplacement (sans collisions)</t>
  </si>
  <si>
    <t>Ajouter taches dans icescrum</t>
  </si>
  <si>
    <t>implémentation</t>
  </si>
  <si>
    <t>implementer les boites ainsi que leur deplacement</t>
  </si>
  <si>
    <t>ajouter le fait que le personnage puisse deplacer les boites</t>
  </si>
  <si>
    <t>ajouter des collisions aux boites</t>
  </si>
  <si>
    <t>ajouter des collisions au joueur</t>
  </si>
  <si>
    <t>Correction des bugs dans la collision et deplacement des boites</t>
  </si>
  <si>
    <t>documentation des taches que j'ai fait jusqu'à maintenant</t>
  </si>
  <si>
    <t>Je n'ai pas pu finir</t>
  </si>
  <si>
    <t>Ajouter les poins de controlle pour le boites</t>
  </si>
  <si>
    <t>chercher assets pour le teleporter et decider leur fonctionnement</t>
  </si>
  <si>
    <t>commencer implementation du teleporteur</t>
  </si>
  <si>
    <t>correction des bugs avec la teleportation du joueur</t>
  </si>
  <si>
    <t>Sprint review avec M.Ithurbide</t>
  </si>
  <si>
    <t>implementer la teleportation des boites</t>
  </si>
  <si>
    <t>contieint des bugs qui doivent etre resolus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</si>
</sst>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name val="Tahoma"/>
      <family val="2"/>
    </font>
    <font>
      <sz val="11"/>
      <name val="Tahoma"/>
      <family val="2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4" fillId="0" borderId="0" xfId="0" applyFont="1"/>
    <xf numFmtId="0" fontId="4" fillId="0" borderId="0" xfId="0" applyFont="1" applyAlignment="1"/>
    <xf numFmtId="0" fontId="4" fillId="0" borderId="0" xfId="0" applyFont="1" applyAlignment="1">
      <alignment horizontal="left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276225</xdr:colOff>
          <xdr:row>4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 une entrée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6</xdr:row>
          <xdr:rowOff>28575</xdr:rowOff>
        </xdr:from>
        <xdr:to>
          <xdr:col>0</xdr:col>
          <xdr:colOff>990600</xdr:colOff>
          <xdr:row>7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3187.592159490741" createdVersion="4" refreshedVersion="4" minRefreshableVersion="3" recordCount="1" xr:uid="{00000000-000A-0000-FFFF-FFFF00000000}">
  <cacheSource type="worksheet">
    <worksheetSource ref="A6:D37" sheet="Journal"/>
  </cacheSource>
  <cacheFields count="4">
    <cacheField name="Jour" numFmtId="16">
      <sharedItems containsSemiMixedTypes="0" containsNonDate="0" containsDate="1" containsString="0" minDate="2018-01-01T00:00:00" maxDate="2018-04-05T00:00:00" count="4">
        <d v="2018-01-01T00:00:00"/>
        <d v="2018-02-02T00:00:00" u="1"/>
        <d v="2018-03-03T00:00:00" u="1"/>
        <d v="2018-04-04T00:00:00" u="1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1" maxValue="1"/>
    </cacheField>
    <cacheField name="Type" numFmtId="0">
      <sharedItems count="4">
        <s v="Analyse"/>
        <s v="Documentation" u="1"/>
        <s v="Tests" u="1"/>
        <s v="Implémentatio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n v="1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5">
        <item x="0"/>
        <item m="1" x="1"/>
        <item m="1" x="2"/>
        <item m="1" x="3"/>
        <item t="default"/>
      </items>
    </pivotField>
    <pivotField showAll="0"/>
    <pivotField dataField="1" showAll="0"/>
    <pivotField axis="axisCol" showAll="0">
      <items count="5">
        <item m="1" x="1"/>
        <item m="1" x="3"/>
        <item x="0"/>
        <item m="1" x="2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>
    <pageSetUpPr fitToPage="1"/>
  </sheetPr>
  <dimension ref="A1:I38"/>
  <sheetViews>
    <sheetView tabSelected="1" workbookViewId="0">
      <selection activeCell="F9" sqref="F9"/>
    </sheetView>
  </sheetViews>
  <sheetFormatPr defaultColWidth="9.140625" defaultRowHeight="15" x14ac:dyDescent="0.25"/>
  <cols>
    <col min="1" max="1" width="7.42578125" style="8" bestFit="1" customWidth="1"/>
    <col min="2" max="2" width="8.140625" style="20" bestFit="1" customWidth="1"/>
    <col min="3" max="3" width="9.28515625" style="16" bestFit="1" customWidth="1"/>
    <col min="4" max="4" width="15.5703125" style="8" bestFit="1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s="22" customFormat="1" ht="14.1" customHeight="1" x14ac:dyDescent="0.2">
      <c r="A1" s="25" t="s">
        <v>14</v>
      </c>
      <c r="B1" s="25"/>
      <c r="C1" s="25"/>
      <c r="D1" s="25"/>
      <c r="E1" s="25"/>
      <c r="F1" s="25"/>
    </row>
    <row r="2" spans="1:9" s="22" customFormat="1" ht="14.25" x14ac:dyDescent="0.2">
      <c r="A2" s="25"/>
      <c r="B2" s="25"/>
      <c r="C2" s="25"/>
      <c r="D2" s="25"/>
      <c r="E2" s="25"/>
      <c r="F2" s="25"/>
    </row>
    <row r="3" spans="1:9" s="22" customFormat="1" ht="24.95" customHeight="1" x14ac:dyDescent="0.2">
      <c r="D3" s="23"/>
      <c r="E3" s="23" t="s">
        <v>15</v>
      </c>
      <c r="F3" s="24" t="s">
        <v>16</v>
      </c>
    </row>
    <row r="6" spans="1:9" ht="24" customHeight="1" x14ac:dyDescent="0.25">
      <c r="A6" s="6" t="s">
        <v>1</v>
      </c>
      <c r="B6" s="18" t="s">
        <v>11</v>
      </c>
      <c r="C6" s="9" t="s">
        <v>2</v>
      </c>
      <c r="D6" s="6" t="s">
        <v>3</v>
      </c>
      <c r="E6" s="10" t="s">
        <v>0</v>
      </c>
      <c r="F6" s="10" t="s">
        <v>13</v>
      </c>
    </row>
    <row r="7" spans="1:9" x14ac:dyDescent="0.25">
      <c r="A7" s="7">
        <v>44334</v>
      </c>
      <c r="B7" s="19">
        <f t="shared" ref="B7" si="0">WEEKNUM(A7)</f>
        <v>21</v>
      </c>
      <c r="C7" s="12">
        <v>1</v>
      </c>
      <c r="D7" s="13" t="s">
        <v>5</v>
      </c>
      <c r="E7" s="14"/>
      <c r="F7" s="14"/>
      <c r="I7" s="15"/>
    </row>
    <row r="8" spans="1:9" x14ac:dyDescent="0.25">
      <c r="A8" s="7">
        <v>44334</v>
      </c>
      <c r="B8" s="19">
        <f t="shared" ref="B8" si="1">WEEKNUM(A8)</f>
        <v>21</v>
      </c>
      <c r="C8" s="12">
        <v>2</v>
      </c>
      <c r="D8" s="13" t="s">
        <v>6</v>
      </c>
      <c r="E8" s="14" t="s">
        <v>48</v>
      </c>
      <c r="F8" s="14" t="s">
        <v>49</v>
      </c>
      <c r="I8" s="15"/>
    </row>
    <row r="9" spans="1:9" x14ac:dyDescent="0.25">
      <c r="A9" s="7">
        <v>44334</v>
      </c>
      <c r="B9" s="19">
        <f t="shared" ref="B9" si="2">WEEKNUM(A9)</f>
        <v>21</v>
      </c>
      <c r="C9" s="12">
        <v>0.5</v>
      </c>
      <c r="D9" s="13" t="s">
        <v>5</v>
      </c>
      <c r="E9" s="14" t="s">
        <v>47</v>
      </c>
      <c r="F9" s="14"/>
      <c r="I9" s="15"/>
    </row>
    <row r="10" spans="1:9" x14ac:dyDescent="0.25">
      <c r="A10" s="7">
        <v>44334</v>
      </c>
      <c r="B10" s="19">
        <f t="shared" ref="B10" si="3">WEEKNUM(A10)</f>
        <v>21</v>
      </c>
      <c r="C10" s="12">
        <v>2</v>
      </c>
      <c r="D10" s="13" t="s">
        <v>6</v>
      </c>
      <c r="E10" s="14" t="s">
        <v>46</v>
      </c>
      <c r="F10" s="14"/>
      <c r="I10" s="15"/>
    </row>
    <row r="11" spans="1:9" x14ac:dyDescent="0.25">
      <c r="A11" s="7">
        <v>44333</v>
      </c>
      <c r="B11" s="19">
        <f t="shared" ref="B11" si="4">WEEKNUM(A11)</f>
        <v>21</v>
      </c>
      <c r="C11" s="12">
        <v>2</v>
      </c>
      <c r="D11" s="13" t="s">
        <v>6</v>
      </c>
      <c r="E11" s="14" t="s">
        <v>45</v>
      </c>
      <c r="F11" s="14"/>
      <c r="I11" s="15"/>
    </row>
    <row r="12" spans="1:9" x14ac:dyDescent="0.25">
      <c r="A12" s="7">
        <v>44333</v>
      </c>
      <c r="B12" s="19">
        <f t="shared" ref="B12" si="5">WEEKNUM(A12)</f>
        <v>21</v>
      </c>
      <c r="C12" s="12">
        <v>2</v>
      </c>
      <c r="D12" s="13" t="s">
        <v>6</v>
      </c>
      <c r="E12" s="14" t="s">
        <v>44</v>
      </c>
      <c r="F12" s="14"/>
      <c r="I12" s="15"/>
    </row>
    <row r="13" spans="1:9" x14ac:dyDescent="0.25">
      <c r="A13" s="7">
        <v>44333</v>
      </c>
      <c r="B13" s="19">
        <f t="shared" ref="B13" si="6">WEEKNUM(A13)</f>
        <v>21</v>
      </c>
      <c r="C13" s="12">
        <v>2</v>
      </c>
      <c r="D13" s="13" t="s">
        <v>6</v>
      </c>
      <c r="E13" s="14" t="s">
        <v>43</v>
      </c>
      <c r="F13" s="14"/>
      <c r="I13" s="15"/>
    </row>
    <row r="14" spans="1:9" x14ac:dyDescent="0.25">
      <c r="A14" s="7">
        <v>44327</v>
      </c>
      <c r="B14" s="19">
        <f t="shared" ref="B14" si="7">WEEKNUM(A14)</f>
        <v>20</v>
      </c>
      <c r="C14" s="12">
        <v>1.5</v>
      </c>
      <c r="D14" s="13" t="s">
        <v>8</v>
      </c>
      <c r="E14" s="14" t="s">
        <v>41</v>
      </c>
      <c r="F14" s="14" t="s">
        <v>42</v>
      </c>
      <c r="I14" s="15"/>
    </row>
    <row r="15" spans="1:9" x14ac:dyDescent="0.25">
      <c r="A15" s="7">
        <v>44327</v>
      </c>
      <c r="B15" s="19">
        <f t="shared" ref="B15" si="8">WEEKNUM(A15)</f>
        <v>20</v>
      </c>
      <c r="C15" s="12">
        <v>3</v>
      </c>
      <c r="D15" s="13" t="s">
        <v>35</v>
      </c>
      <c r="E15" s="14" t="s">
        <v>40</v>
      </c>
      <c r="F15" s="14"/>
      <c r="I15" s="15"/>
    </row>
    <row r="16" spans="1:9" x14ac:dyDescent="0.25">
      <c r="A16" s="7">
        <v>44326</v>
      </c>
      <c r="B16" s="19">
        <f t="shared" ref="B16" si="9">WEEKNUM(A16)</f>
        <v>20</v>
      </c>
      <c r="C16" s="12">
        <v>1.5</v>
      </c>
      <c r="D16" s="13" t="s">
        <v>35</v>
      </c>
      <c r="E16" s="14" t="s">
        <v>38</v>
      </c>
      <c r="F16" s="14"/>
      <c r="I16" s="15"/>
    </row>
    <row r="17" spans="1:9" x14ac:dyDescent="0.25">
      <c r="A17" s="7">
        <v>44326</v>
      </c>
      <c r="B17" s="19">
        <f t="shared" ref="B17" si="10">WEEKNUM(A17)</f>
        <v>20</v>
      </c>
      <c r="C17" s="12">
        <v>1</v>
      </c>
      <c r="D17" s="13" t="s">
        <v>35</v>
      </c>
      <c r="E17" s="14" t="s">
        <v>37</v>
      </c>
      <c r="F17" s="14"/>
      <c r="I17" s="15"/>
    </row>
    <row r="18" spans="1:9" x14ac:dyDescent="0.25">
      <c r="A18" s="7">
        <v>44326</v>
      </c>
      <c r="B18" s="19">
        <f t="shared" ref="B18" si="11">WEEKNUM(A18)</f>
        <v>20</v>
      </c>
      <c r="C18" s="12">
        <v>2</v>
      </c>
      <c r="D18" s="13" t="s">
        <v>35</v>
      </c>
      <c r="E18" s="14" t="s">
        <v>36</v>
      </c>
      <c r="F18" s="14"/>
      <c r="I18" s="15"/>
    </row>
    <row r="19" spans="1:9" x14ac:dyDescent="0.25">
      <c r="A19" s="7">
        <v>44326</v>
      </c>
      <c r="B19" s="19">
        <f t="shared" ref="B19" si="12">WEEKNUM(A19)</f>
        <v>20</v>
      </c>
      <c r="C19" s="12">
        <v>1.5</v>
      </c>
      <c r="D19" s="13" t="s">
        <v>35</v>
      </c>
      <c r="E19" s="14" t="s">
        <v>39</v>
      </c>
      <c r="F19" s="14"/>
      <c r="I19" s="15"/>
    </row>
    <row r="20" spans="1:9" x14ac:dyDescent="0.25">
      <c r="A20" s="7">
        <v>44323</v>
      </c>
      <c r="B20" s="19">
        <f t="shared" ref="B20" si="13">WEEKNUM(A20)</f>
        <v>19</v>
      </c>
      <c r="C20" s="12">
        <v>0.75</v>
      </c>
      <c r="D20" s="13" t="s">
        <v>8</v>
      </c>
      <c r="E20" s="14" t="s">
        <v>34</v>
      </c>
      <c r="F20" s="14"/>
      <c r="I20" s="15"/>
    </row>
    <row r="21" spans="1:9" x14ac:dyDescent="0.25">
      <c r="A21" s="7">
        <v>44323</v>
      </c>
      <c r="B21" s="19">
        <f t="shared" ref="B21" si="14">WEEKNUM(A21)</f>
        <v>19</v>
      </c>
      <c r="C21" s="12">
        <v>2.25</v>
      </c>
      <c r="D21" s="13" t="s">
        <v>6</v>
      </c>
      <c r="E21" s="14" t="s">
        <v>33</v>
      </c>
      <c r="F21" s="14"/>
      <c r="I21" s="15"/>
    </row>
    <row r="22" spans="1:9" x14ac:dyDescent="0.25">
      <c r="A22" s="7">
        <v>44323</v>
      </c>
      <c r="B22" s="19">
        <f t="shared" ref="B22" si="15">WEEKNUM(A22)</f>
        <v>19</v>
      </c>
      <c r="C22" s="12">
        <v>1.5</v>
      </c>
      <c r="D22" s="13" t="s">
        <v>6</v>
      </c>
      <c r="E22" s="14" t="s">
        <v>32</v>
      </c>
      <c r="F22" s="14"/>
      <c r="I22" s="15"/>
    </row>
    <row r="23" spans="1:9" x14ac:dyDescent="0.25">
      <c r="A23" s="7">
        <v>44323</v>
      </c>
      <c r="B23" s="19">
        <f t="shared" ref="B23" si="16">WEEKNUM(A23)</f>
        <v>19</v>
      </c>
      <c r="C23" s="12">
        <v>0.75</v>
      </c>
      <c r="D23" s="13" t="s">
        <v>8</v>
      </c>
      <c r="E23" s="14" t="s">
        <v>31</v>
      </c>
      <c r="F23" s="14"/>
      <c r="I23" s="15"/>
    </row>
    <row r="24" spans="1:9" x14ac:dyDescent="0.25">
      <c r="A24" s="7">
        <v>44322</v>
      </c>
      <c r="B24" s="19">
        <f t="shared" ref="B24" si="17">WEEKNUM(A24)</f>
        <v>19</v>
      </c>
      <c r="C24" s="12">
        <v>0.75</v>
      </c>
      <c r="D24" s="13" t="s">
        <v>6</v>
      </c>
      <c r="E24" s="14" t="s">
        <v>30</v>
      </c>
      <c r="F24" s="14"/>
      <c r="I24" s="15"/>
    </row>
    <row r="25" spans="1:9" x14ac:dyDescent="0.25">
      <c r="A25" s="7">
        <v>44322</v>
      </c>
      <c r="B25" s="19">
        <f t="shared" ref="B25:B37" si="18">WEEKNUM(A25)</f>
        <v>19</v>
      </c>
      <c r="C25" s="12">
        <v>6</v>
      </c>
      <c r="D25" s="13" t="s">
        <v>5</v>
      </c>
      <c r="E25" s="14" t="s">
        <v>28</v>
      </c>
      <c r="F25" s="14"/>
      <c r="I25" s="15"/>
    </row>
    <row r="26" spans="1:9" x14ac:dyDescent="0.25">
      <c r="A26" s="7">
        <v>44320</v>
      </c>
      <c r="B26" s="19">
        <f t="shared" si="18"/>
        <v>19</v>
      </c>
      <c r="C26" s="12">
        <v>0.5</v>
      </c>
      <c r="D26" s="13" t="s">
        <v>5</v>
      </c>
      <c r="E26" s="14" t="s">
        <v>29</v>
      </c>
      <c r="F26" s="14"/>
      <c r="I26" s="15"/>
    </row>
    <row r="27" spans="1:9" x14ac:dyDescent="0.25">
      <c r="A27" s="7">
        <v>44320</v>
      </c>
      <c r="B27" s="19">
        <f t="shared" si="18"/>
        <v>19</v>
      </c>
      <c r="C27" s="12">
        <v>0.5</v>
      </c>
      <c r="D27" s="13" t="s">
        <v>5</v>
      </c>
      <c r="E27" s="17" t="s">
        <v>26</v>
      </c>
      <c r="F27" s="14"/>
      <c r="I27" s="15"/>
    </row>
    <row r="28" spans="1:9" x14ac:dyDescent="0.25">
      <c r="A28" s="7">
        <v>44320</v>
      </c>
      <c r="B28" s="19">
        <f t="shared" si="18"/>
        <v>19</v>
      </c>
      <c r="C28" s="12">
        <v>1.5</v>
      </c>
      <c r="D28" s="13" t="s">
        <v>5</v>
      </c>
      <c r="E28" s="14" t="s">
        <v>25</v>
      </c>
      <c r="F28" s="14"/>
      <c r="I28" s="15"/>
    </row>
    <row r="29" spans="1:9" x14ac:dyDescent="0.25">
      <c r="A29" s="7">
        <v>44320</v>
      </c>
      <c r="B29" s="19">
        <f t="shared" si="18"/>
        <v>19</v>
      </c>
      <c r="C29" s="12">
        <v>2</v>
      </c>
      <c r="D29" s="13" t="s">
        <v>5</v>
      </c>
      <c r="E29" s="14" t="s">
        <v>24</v>
      </c>
      <c r="F29" s="14"/>
      <c r="I29" s="15"/>
    </row>
    <row r="30" spans="1:9" x14ac:dyDescent="0.25">
      <c r="A30" s="7">
        <v>44319</v>
      </c>
      <c r="B30" s="19">
        <f t="shared" si="18"/>
        <v>19</v>
      </c>
      <c r="C30" s="12">
        <v>0.5</v>
      </c>
      <c r="D30" s="13" t="s">
        <v>5</v>
      </c>
      <c r="E30" s="14" t="s">
        <v>21</v>
      </c>
      <c r="F30" s="14"/>
      <c r="I30" s="15"/>
    </row>
    <row r="31" spans="1:9" x14ac:dyDescent="0.25">
      <c r="A31" s="7">
        <v>44319</v>
      </c>
      <c r="B31" s="19">
        <f t="shared" si="18"/>
        <v>19</v>
      </c>
      <c r="C31" s="12">
        <v>0.5</v>
      </c>
      <c r="D31" s="13" t="s">
        <v>5</v>
      </c>
      <c r="E31" s="14" t="s">
        <v>23</v>
      </c>
      <c r="F31" s="14"/>
      <c r="I31" s="15"/>
    </row>
    <row r="32" spans="1:9" x14ac:dyDescent="0.25">
      <c r="A32" s="7">
        <v>44319</v>
      </c>
      <c r="B32" s="19">
        <f t="shared" si="18"/>
        <v>19</v>
      </c>
      <c r="C32" s="12">
        <v>0.5</v>
      </c>
      <c r="D32" s="13" t="s">
        <v>5</v>
      </c>
      <c r="E32" s="14" t="s">
        <v>22</v>
      </c>
      <c r="F32" s="14"/>
      <c r="I32" s="15"/>
    </row>
    <row r="33" spans="1:9" x14ac:dyDescent="0.25">
      <c r="A33" s="7">
        <v>44319</v>
      </c>
      <c r="B33" s="19">
        <f t="shared" si="18"/>
        <v>19</v>
      </c>
      <c r="C33" s="12">
        <v>0.5</v>
      </c>
      <c r="D33" s="13" t="s">
        <v>5</v>
      </c>
      <c r="E33" s="14" t="s">
        <v>20</v>
      </c>
      <c r="F33" s="14"/>
      <c r="I33" s="15"/>
    </row>
    <row r="34" spans="1:9" x14ac:dyDescent="0.25">
      <c r="A34" s="7">
        <v>44319</v>
      </c>
      <c r="B34" s="19">
        <f t="shared" si="18"/>
        <v>19</v>
      </c>
      <c r="C34" s="12">
        <v>2.5</v>
      </c>
      <c r="D34" s="13" t="s">
        <v>5</v>
      </c>
      <c r="E34" s="14" t="s">
        <v>19</v>
      </c>
      <c r="F34" s="14"/>
      <c r="I34" s="15"/>
    </row>
    <row r="35" spans="1:9" x14ac:dyDescent="0.25">
      <c r="A35" s="7">
        <v>44319</v>
      </c>
      <c r="B35" s="19">
        <f t="shared" si="18"/>
        <v>19</v>
      </c>
      <c r="C35" s="12">
        <v>0.5</v>
      </c>
      <c r="D35" s="13" t="s">
        <v>5</v>
      </c>
      <c r="E35" s="14" t="s">
        <v>18</v>
      </c>
      <c r="F35" s="14"/>
      <c r="I35" s="15"/>
    </row>
    <row r="36" spans="1:9" x14ac:dyDescent="0.25">
      <c r="A36" s="7">
        <v>44319</v>
      </c>
      <c r="B36" s="19">
        <f t="shared" si="18"/>
        <v>19</v>
      </c>
      <c r="C36" s="12">
        <v>0.5</v>
      </c>
      <c r="D36" s="13" t="s">
        <v>5</v>
      </c>
      <c r="E36" s="14" t="s">
        <v>27</v>
      </c>
      <c r="F36" s="14"/>
      <c r="I36" s="15"/>
    </row>
    <row r="37" spans="1:9" x14ac:dyDescent="0.25">
      <c r="A37" s="7">
        <v>44319</v>
      </c>
      <c r="B37" s="19">
        <f t="shared" si="18"/>
        <v>19</v>
      </c>
      <c r="C37" s="12">
        <v>0.5</v>
      </c>
      <c r="D37" s="13" t="s">
        <v>5</v>
      </c>
      <c r="E37" s="14" t="s">
        <v>17</v>
      </c>
      <c r="F37" s="14"/>
      <c r="I37" s="15"/>
    </row>
    <row r="38" spans="1:9" x14ac:dyDescent="0.25">
      <c r="A38" s="21"/>
    </row>
  </sheetData>
  <sheetProtection selectLockedCells="1"/>
  <mergeCells count="1">
    <mergeCell ref="A1:F2"/>
  </mergeCells>
  <pageMargins left="0.7" right="0.7" top="0.75" bottom="0.75" header="0.3" footer="0.3"/>
  <pageSetup paperSize="9" scale="65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276225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Paramètres!$A$2:$A$6</xm:f>
          </x14:formula1>
          <xm:sqref>D7:D37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>
      <selection activeCell="B6" sqref="B6"/>
    </sheetView>
  </sheetViews>
  <sheetFormatPr defaultColWidth="11.42578125" defaultRowHeight="15" x14ac:dyDescent="0.25"/>
  <cols>
    <col min="1" max="1" width="17.140625" customWidth="1"/>
    <col min="2" max="2" width="7" customWidth="1"/>
    <col min="3" max="3" width="11.140625" bestFit="1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12</v>
      </c>
    </row>
    <row r="4" spans="1:3" x14ac:dyDescent="0.25">
      <c r="B4" t="s">
        <v>5</v>
      </c>
      <c r="C4" t="s">
        <v>10</v>
      </c>
    </row>
    <row r="5" spans="1:3" x14ac:dyDescent="0.25">
      <c r="A5" s="5">
        <v>43101</v>
      </c>
      <c r="B5" s="3">
        <v>1</v>
      </c>
      <c r="C5" s="3">
        <v>1</v>
      </c>
    </row>
    <row r="6" spans="1:3" x14ac:dyDescent="0.25">
      <c r="A6" s="5" t="s">
        <v>10</v>
      </c>
      <c r="B6" s="3">
        <v>1</v>
      </c>
      <c r="C6" s="3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6"/>
  <sheetViews>
    <sheetView workbookViewId="0">
      <selection activeCell="C11" sqref="C11"/>
    </sheetView>
  </sheetViews>
  <sheetFormatPr defaultColWidth="11.42578125" defaultRowHeight="15" x14ac:dyDescent="0.25"/>
  <cols>
    <col min="1" max="1" width="13.140625" bestFit="1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s="1" t="s">
        <v>6</v>
      </c>
    </row>
    <row r="4" spans="1:1" x14ac:dyDescent="0.25">
      <c r="A4" s="1" t="s">
        <v>7</v>
      </c>
    </row>
    <row r="5" spans="1:1" x14ac:dyDescent="0.25">
      <c r="A5" s="1" t="s">
        <v>8</v>
      </c>
    </row>
    <row r="6" spans="1:1" x14ac:dyDescent="0.25">
      <c r="A6" s="1" t="s">
        <v>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NewTaskType">
                <anchor moveWithCells="1" sizeWithCells="1">
                  <from>
                    <xdr:col>0</xdr:col>
                    <xdr:colOff>9525</xdr:colOff>
                    <xdr:row>6</xdr:row>
                    <xdr:rowOff>28575</xdr:rowOff>
                  </from>
                  <to>
                    <xdr:col>0</xdr:col>
                    <xdr:colOff>990600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2" ma:contentTypeDescription="Crée un document." ma:contentTypeScope="" ma:versionID="acac6587a1624531b7bbb5e040fdc0e2">
  <xsd:schema xmlns:xsd="http://www.w3.org/2001/XMLSchema" xmlns:xs="http://www.w3.org/2001/XMLSchema" xmlns:p="http://schemas.microsoft.com/office/2006/metadata/properties" xmlns:ns2="0119da2b-60ce-4773-88fa-ebab2cde1f55" targetNamespace="http://schemas.microsoft.com/office/2006/metadata/properties" ma:root="true" ma:fieldsID="497bc8f796ffcd2b49b56101ba0507db" ns2:_="">
    <xsd:import namespace="0119da2b-60ce-4773-88fa-ebab2cde1f5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6C2627F8-BBB3-4393-85B5-1CD596EE2E3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58F7502-934F-41DD-8A96-9B5DD575AFB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F030087-15DC-4EDA-9907-372A451C849E}">
  <ds:schemaRefs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0119da2b-60ce-4773-88fa-ebab2cde1f55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Journal</vt:lpstr>
      <vt:lpstr>Totaux</vt:lpstr>
      <vt:lpstr>Paramètres</vt:lpstr>
      <vt:lpstr>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2021-05-18T13:45:02Z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